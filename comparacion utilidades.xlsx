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83ce8dec18972fb/MSc Data Science/TFM/TFM/"/>
    </mc:Choice>
  </mc:AlternateContent>
  <xr:revisionPtr revIDLastSave="81" documentId="11_F25DC773A252ABDACC1048C4F1995E885ADE58FA" xr6:coauthVersionLast="47" xr6:coauthVersionMax="47" xr10:uidLastSave="{858F07EB-781F-4658-A90F-DFEE6446B9A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C11" i="1"/>
  <c r="C10" i="1"/>
  <c r="B7" i="1"/>
  <c r="A2" i="1"/>
  <c r="A1" i="1"/>
  <c r="B2" i="1"/>
  <c r="B1" i="1"/>
  <c r="D6" i="1"/>
  <c r="BN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C6" i="1"/>
</calcChain>
</file>

<file path=xl/sharedStrings.xml><?xml version="1.0" encoding="utf-8"?>
<sst xmlns="http://schemas.openxmlformats.org/spreadsheetml/2006/main" count="2" uniqueCount="2">
  <si>
    <t>DIFERENCIA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</si>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</sst>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0" borderId="1" xfId="0" applyNumberFormat="1" applyBorder="1"/>
    <xf numFmtId="49" fontId="0" fillId="0" borderId="1" xfId="0" applyNumberFormat="1" applyBorder="1"/>
    <xf numFmtId="2" fontId="0" fillId="2" borderId="1" xfId="0" applyNumberFormat="1" applyFill="1" applyBorder="1"/>
    <xf numFmtId="1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"/>
  <sheetViews>
    <sheetView tabSelected="1" workbookViewId="0">
      <selection activeCell="K29" sqref="K29"/>
    </sheetView>
  </sheetViews>
  <sheetFormatPr baseColWidth="10" defaultColWidth="9.140625" defaultRowHeight="15" x14ac:dyDescent="0.25"/>
  <cols>
    <col min="1" max="1" width="11.85546875" bestFit="1" customWidth="1"/>
    <col min="2" max="2" width="9.140625" style="11"/>
    <col min="3" max="3" width="6.5703125" style="3" bestFit="1" customWidth="1"/>
    <col min="4" max="4" width="5.5703125" style="3" bestFit="1" customWidth="1"/>
    <col min="5" max="5" width="6" style="3" customWidth="1"/>
    <col min="6" max="36" width="5.5703125" style="3" bestFit="1" customWidth="1"/>
    <col min="37" max="37" width="6.28515625" style="3" customWidth="1"/>
    <col min="38" max="66" width="5.5703125" style="3" bestFit="1" customWidth="1"/>
  </cols>
  <sheetData>
    <row r="1" spans="1:66" s="2" customFormat="1" x14ac:dyDescent="0.25">
      <c r="A1" s="2">
        <f>AVERAGE(C1:BN1)</f>
        <v>5.7692857369245019</v>
      </c>
      <c r="B1" s="7">
        <f>_xlfn.STDEV.S(C1:BN1)</f>
        <v>3.3482062421110386</v>
      </c>
      <c r="C1" s="3">
        <v>9.2846067813290407</v>
      </c>
      <c r="D1" s="3">
        <v>8.4932977443750506</v>
      </c>
      <c r="E1" s="3">
        <v>0.72705934680595297</v>
      </c>
      <c r="F1" s="3">
        <v>9.7610808449997197</v>
      </c>
      <c r="G1" s="3">
        <v>9.6231234955771701</v>
      </c>
      <c r="H1" s="3">
        <v>8.4241498841793092</v>
      </c>
      <c r="I1" s="3">
        <v>2.98209195635738</v>
      </c>
      <c r="J1" s="3">
        <v>9.5516540943810408</v>
      </c>
      <c r="K1" s="3">
        <v>4.6927484061003604</v>
      </c>
      <c r="L1" s="3">
        <v>0.31646844657775203</v>
      </c>
      <c r="M1" s="3">
        <v>8.3034684554605995</v>
      </c>
      <c r="N1" s="3">
        <v>7.4485928849957901</v>
      </c>
      <c r="O1" s="3">
        <v>7.7267478355376404</v>
      </c>
      <c r="P1" s="3">
        <v>4.4883062547965498</v>
      </c>
      <c r="Q1" s="3">
        <v>8.5091851576739099</v>
      </c>
      <c r="R1" s="3">
        <v>0.38673326432786098</v>
      </c>
      <c r="S1" s="3">
        <v>9.0318887812516397</v>
      </c>
      <c r="T1" s="3">
        <v>8.2386353745933594</v>
      </c>
      <c r="U1" s="3">
        <v>0.70403284948312495</v>
      </c>
      <c r="V1" s="3">
        <v>9.5800387183920108</v>
      </c>
      <c r="W1" s="3">
        <v>9.3238695194799899</v>
      </c>
      <c r="X1" s="3">
        <v>8.1875579574151605</v>
      </c>
      <c r="Y1" s="3">
        <v>2.9489003298234802</v>
      </c>
      <c r="Z1" s="3">
        <v>9.2702851954888299</v>
      </c>
      <c r="AA1" s="3">
        <v>4.6734492077757803</v>
      </c>
      <c r="AB1" s="3">
        <v>0.31462169276736301</v>
      </c>
      <c r="AC1" s="3">
        <v>8.31891479759053</v>
      </c>
      <c r="AD1" s="3">
        <v>7.4613533824768803</v>
      </c>
      <c r="AE1" s="3">
        <v>7.7350856702219</v>
      </c>
      <c r="AF1" s="3">
        <v>4.4696927001176601</v>
      </c>
      <c r="AG1" s="3">
        <v>8.5243825588078295</v>
      </c>
      <c r="AH1" s="3">
        <v>0.38487127453907399</v>
      </c>
      <c r="AI1" s="3">
        <v>9.2361103775129401</v>
      </c>
      <c r="AJ1" s="3">
        <v>8.4444282174006595</v>
      </c>
      <c r="AK1" s="3">
        <v>0.72264057840680296</v>
      </c>
      <c r="AL1" s="3">
        <v>9.7263389901377604</v>
      </c>
      <c r="AM1" s="3">
        <v>9.5656968711818404</v>
      </c>
      <c r="AN1" s="3">
        <v>8.37874806232068</v>
      </c>
      <c r="AO1" s="3">
        <v>2.97572250691884</v>
      </c>
      <c r="AP1" s="3">
        <v>9.4976596035343697</v>
      </c>
      <c r="AQ1" s="3">
        <v>4.6890449037183002</v>
      </c>
      <c r="AR1" s="3">
        <v>0.316114055839814</v>
      </c>
      <c r="AS1" s="3">
        <v>8.3064325974892093</v>
      </c>
      <c r="AT1" s="3">
        <v>7.4510416153535299</v>
      </c>
      <c r="AU1" s="3">
        <v>7.7283478600617199</v>
      </c>
      <c r="AV1" s="3">
        <v>4.4847343269406599</v>
      </c>
      <c r="AW1" s="3">
        <v>8.5121015281030896</v>
      </c>
      <c r="AX1" s="3">
        <v>0.386375949816544</v>
      </c>
      <c r="AY1" s="3">
        <v>4.1066733135059303</v>
      </c>
      <c r="AZ1" s="3">
        <v>3.2755261290412898</v>
      </c>
      <c r="BA1" s="3">
        <v>0.25526995666322899</v>
      </c>
      <c r="BB1" s="3">
        <v>6.0517127502822499</v>
      </c>
      <c r="BC1" s="3">
        <v>3.49171545286505</v>
      </c>
      <c r="BD1" s="3">
        <v>3.5766231728504798</v>
      </c>
      <c r="BE1" s="3">
        <v>2.3020294604973301</v>
      </c>
      <c r="BF1" s="3">
        <v>3.7866929996735501</v>
      </c>
      <c r="BG1" s="3">
        <v>4.2973275620116604</v>
      </c>
      <c r="BH1" s="3">
        <v>0.278630348940407</v>
      </c>
      <c r="BI1" s="3">
        <v>8.6199482148980398</v>
      </c>
      <c r="BJ1" s="3">
        <v>7.7100424333190798</v>
      </c>
      <c r="BK1" s="3">
        <v>7.8975815444446296</v>
      </c>
      <c r="BL1" s="3">
        <v>4.1069335480741396</v>
      </c>
      <c r="BM1" s="3">
        <v>8.8205643705956298</v>
      </c>
      <c r="BN1" s="3">
        <v>0.34858299706889101</v>
      </c>
    </row>
    <row r="2" spans="1:66" s="2" customFormat="1" x14ac:dyDescent="0.25">
      <c r="A2" s="2">
        <f>AVERAGE(C2:BN2)</f>
        <v>4.6248842881757675</v>
      </c>
      <c r="B2" s="7">
        <f>_xlfn.STDEV.S(C2:BN2)</f>
        <v>1.3098857694619463</v>
      </c>
      <c r="C2" s="3">
        <v>6.9755323792432096</v>
      </c>
      <c r="D2" s="3">
        <v>6.6092458024090499</v>
      </c>
      <c r="E2" s="3">
        <v>6.83807243886117</v>
      </c>
      <c r="F2" s="3">
        <v>7.1678123372672999</v>
      </c>
      <c r="G2" s="3">
        <v>6.6092458024090499</v>
      </c>
      <c r="H2" s="3">
        <v>6.9755323792432096</v>
      </c>
      <c r="I2" s="3">
        <v>6.38041916595692</v>
      </c>
      <c r="J2" s="3">
        <v>6.83807243886117</v>
      </c>
      <c r="K2" s="3">
        <v>3.7365791154641599</v>
      </c>
      <c r="L2" s="3">
        <v>3.6464600316340099</v>
      </c>
      <c r="M2" s="3">
        <v>3.6815295352232602</v>
      </c>
      <c r="N2" s="3">
        <v>3.5914104513931102</v>
      </c>
      <c r="O2" s="3">
        <v>3.6264799549823499</v>
      </c>
      <c r="P2" s="3">
        <v>3.5012913675629602</v>
      </c>
      <c r="Q2" s="3">
        <v>3.5363608711521999</v>
      </c>
      <c r="R2" s="3">
        <v>3.4462417873220499</v>
      </c>
      <c r="S2" s="3">
        <v>5.4206985294117596</v>
      </c>
      <c r="T2" s="3">
        <v>5.1455147058823503</v>
      </c>
      <c r="U2" s="3">
        <v>5.3165955882352902</v>
      </c>
      <c r="V2" s="3">
        <v>5.56498823529411</v>
      </c>
      <c r="W2" s="3">
        <v>5.1455147058823503</v>
      </c>
      <c r="X2" s="3">
        <v>5.4206985294117596</v>
      </c>
      <c r="Y2" s="3">
        <v>4.9744338235294103</v>
      </c>
      <c r="Z2" s="3">
        <v>5.3165955882352902</v>
      </c>
      <c r="AA2" s="3">
        <v>3.9716911764705798</v>
      </c>
      <c r="AB2" s="3">
        <v>3.84794117647058</v>
      </c>
      <c r="AC2" s="3">
        <v>3.8962500000000002</v>
      </c>
      <c r="AD2" s="3">
        <v>3.7725</v>
      </c>
      <c r="AE2" s="3">
        <v>3.82080882352941</v>
      </c>
      <c r="AF2" s="3">
        <v>3.6487500000000002</v>
      </c>
      <c r="AG2" s="3">
        <v>3.6970588235294102</v>
      </c>
      <c r="AH2" s="3">
        <v>3.5733088235294099</v>
      </c>
      <c r="AI2" s="3">
        <v>6.6628940976099997</v>
      </c>
      <c r="AJ2" s="3">
        <v>6.31492601072146</v>
      </c>
      <c r="AK2" s="3">
        <v>6.5321414172436896</v>
      </c>
      <c r="AL2" s="3">
        <v>6.8455244136698603</v>
      </c>
      <c r="AM2" s="3">
        <v>6.31492601072146</v>
      </c>
      <c r="AN2" s="3">
        <v>6.6628940976099997</v>
      </c>
      <c r="AO2" s="3">
        <v>6.0977106041992304</v>
      </c>
      <c r="AP2" s="3">
        <v>6.5321414172436896</v>
      </c>
      <c r="AQ2" s="3">
        <v>3.7838542830020101</v>
      </c>
      <c r="AR2" s="3">
        <v>3.6869728612910402</v>
      </c>
      <c r="AS2" s="3">
        <v>3.72470446169309</v>
      </c>
      <c r="AT2" s="3">
        <v>3.6278230399821298</v>
      </c>
      <c r="AU2" s="3">
        <v>3.6655546403841801</v>
      </c>
      <c r="AV2" s="3">
        <v>3.5309416182711599</v>
      </c>
      <c r="AW2" s="3">
        <v>3.5686732186732102</v>
      </c>
      <c r="AX2" s="3">
        <v>3.47179179696225</v>
      </c>
      <c r="AY2" s="3">
        <v>3.48093237704918</v>
      </c>
      <c r="AZ2" s="3">
        <v>3.3194057377049102</v>
      </c>
      <c r="BA2" s="3">
        <v>3.4184446721311401</v>
      </c>
      <c r="BB2" s="3">
        <v>3.5653508196721302</v>
      </c>
      <c r="BC2" s="3">
        <v>3.3194057377049102</v>
      </c>
      <c r="BD2" s="3">
        <v>3.48093237704918</v>
      </c>
      <c r="BE2" s="3">
        <v>3.2203668032786799</v>
      </c>
      <c r="BF2" s="3">
        <v>3.4184446721311401</v>
      </c>
      <c r="BG2" s="3">
        <v>4.2650102459016299</v>
      </c>
      <c r="BH2" s="3">
        <v>4.0993032786885202</v>
      </c>
      <c r="BI2" s="3">
        <v>4.1641290983606503</v>
      </c>
      <c r="BJ2" s="3">
        <v>3.9984221311475401</v>
      </c>
      <c r="BK2" s="3">
        <v>4.0632479508196697</v>
      </c>
      <c r="BL2" s="3">
        <v>3.8327151639344201</v>
      </c>
      <c r="BM2" s="3">
        <v>3.8975409836065502</v>
      </c>
      <c r="BN2" s="3">
        <v>3.73183401639344</v>
      </c>
    </row>
    <row r="3" spans="1:66" s="1" customFormat="1" ht="16.5" customHeight="1" x14ac:dyDescent="0.25"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s="1" customFormat="1" ht="16.5" customHeight="1" x14ac:dyDescent="0.25"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s="1" customFormat="1" x14ac:dyDescent="0.25"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 spans="1:66" s="5" customFormat="1" x14ac:dyDescent="0.25">
      <c r="A6" s="5" t="s">
        <v>0</v>
      </c>
      <c r="B6" s="9">
        <v>4</v>
      </c>
      <c r="C6" s="6" t="str">
        <f>IF(ABS(C1-C2)&gt;$B6,1,"")</f>
        <v/>
      </c>
      <c r="D6" s="6" t="str">
        <f>IF(ABS(D1-D2)&gt;$B6,1,"")</f>
        <v/>
      </c>
      <c r="E6" s="6">
        <f>IF(ABS(E1-E2)&gt;$B6,1,"")</f>
        <v>1</v>
      </c>
      <c r="F6" s="6" t="str">
        <f>IF(ABS(F1-F2)&gt;$B6,1,"")</f>
        <v/>
      </c>
      <c r="G6" s="6" t="str">
        <f>IF(ABS(G1-G2)&gt;$B6,1,"")</f>
        <v/>
      </c>
      <c r="H6" s="6" t="str">
        <f>IF(ABS(H1-H2)&gt;$B6,1,"")</f>
        <v/>
      </c>
      <c r="I6" s="6" t="str">
        <f>IF(ABS(I1-I2)&gt;$B6,1,"")</f>
        <v/>
      </c>
      <c r="J6" s="6" t="str">
        <f>IF(ABS(J1-J2)&gt;$B6,1,"")</f>
        <v/>
      </c>
      <c r="K6" s="6" t="str">
        <f>IF(ABS(K1-K2)&gt;$B6,1,"")</f>
        <v/>
      </c>
      <c r="L6" s="6" t="str">
        <f>IF(ABS(L1-L2)&gt;$B6,1,"")</f>
        <v/>
      </c>
      <c r="M6" s="6">
        <f>IF(ABS(M1-M2)&gt;$B6,1,"")</f>
        <v>1</v>
      </c>
      <c r="N6" s="6" t="str">
        <f>IF(ABS(N1-N2)&gt;$B6,1,"")</f>
        <v/>
      </c>
      <c r="O6" s="6">
        <f>IF(ABS(O1-O2)&gt;$B6,1,"")</f>
        <v>1</v>
      </c>
      <c r="P6" s="6" t="str">
        <f>IF(ABS(P1-P2)&gt;$B6,1,"")</f>
        <v/>
      </c>
      <c r="Q6" s="6">
        <f>IF(ABS(Q1-Q2)&gt;$B6,1,"")</f>
        <v>1</v>
      </c>
      <c r="R6" s="6" t="str">
        <f>IF(ABS(R1-R2)&gt;$B6,1,"")</f>
        <v/>
      </c>
      <c r="S6" s="6" t="str">
        <f>IF(ABS(S1-S2)&gt;$B6,1,"")</f>
        <v/>
      </c>
      <c r="T6" s="6" t="str">
        <f>IF(ABS(T1-T2)&gt;$B6,1,"")</f>
        <v/>
      </c>
      <c r="U6" s="6">
        <f>IF(ABS(U1-U2)&gt;$B6,1,"")</f>
        <v>1</v>
      </c>
      <c r="V6" s="6">
        <f>IF(ABS(V1-V2)&gt;$B6,1,"")</f>
        <v>1</v>
      </c>
      <c r="W6" s="6">
        <f>IF(ABS(W1-W2)&gt;$B6,1,"")</f>
        <v>1</v>
      </c>
      <c r="X6" s="6" t="str">
        <f>IF(ABS(X1-X2)&gt;$B6,1,"")</f>
        <v/>
      </c>
      <c r="Y6" s="6" t="str">
        <f>IF(ABS(Y1-Y2)&gt;$B6,1,"")</f>
        <v/>
      </c>
      <c r="Z6" s="6" t="str">
        <f>IF(ABS(Z1-Z2)&gt;$B6,1,"")</f>
        <v/>
      </c>
      <c r="AA6" s="6" t="str">
        <f>IF(ABS(AA1-AA2)&gt;$B6,1,"")</f>
        <v/>
      </c>
      <c r="AB6" s="6" t="str">
        <f>IF(ABS(AB1-AB2)&gt;$B6,1,"")</f>
        <v/>
      </c>
      <c r="AC6" s="6">
        <f>IF(ABS(AC1-AC2)&gt;$B6,1,"")</f>
        <v>1</v>
      </c>
      <c r="AD6" s="6" t="str">
        <f>IF(ABS(AD1-AD2)&gt;$B6,1,"")</f>
        <v/>
      </c>
      <c r="AE6" s="6" t="str">
        <f>IF(ABS(AE1-AE2)&gt;$B6,1,"")</f>
        <v/>
      </c>
      <c r="AF6" s="6" t="str">
        <f>IF(ABS(AF1-AF2)&gt;$B6,1,"")</f>
        <v/>
      </c>
      <c r="AG6" s="6">
        <f>IF(ABS(AG1-AG2)&gt;$B6,1,"")</f>
        <v>1</v>
      </c>
      <c r="AH6" s="6" t="str">
        <f>IF(ABS(AH1-AH2)&gt;$B6,1,"")</f>
        <v/>
      </c>
      <c r="AI6" s="6" t="str">
        <f>IF(ABS(AI1-AI2)&gt;$B6,1,"")</f>
        <v/>
      </c>
      <c r="AJ6" s="6" t="str">
        <f>IF(ABS(AJ1-AJ2)&gt;$B6,1,"")</f>
        <v/>
      </c>
      <c r="AK6" s="6">
        <f>IF(ABS(AK1-AK2)&gt;$B6,1,"")</f>
        <v>1</v>
      </c>
      <c r="AL6" s="6" t="str">
        <f>IF(ABS(AL1-AL2)&gt;$B6,1,"")</f>
        <v/>
      </c>
      <c r="AM6" s="6" t="str">
        <f>IF(ABS(AM1-AM2)&gt;$B6,1,"")</f>
        <v/>
      </c>
      <c r="AN6" s="6" t="str">
        <f>IF(ABS(AN1-AN2)&gt;$B6,1,"")</f>
        <v/>
      </c>
      <c r="AO6" s="6" t="str">
        <f>IF(ABS(AO1-AO2)&gt;$B6,1,"")</f>
        <v/>
      </c>
      <c r="AP6" s="6" t="str">
        <f>IF(ABS(AP1-AP2)&gt;$B6,1,"")</f>
        <v/>
      </c>
      <c r="AQ6" s="6" t="str">
        <f>IF(ABS(AQ1-AQ2)&gt;$B6,1,"")</f>
        <v/>
      </c>
      <c r="AR6" s="6" t="str">
        <f>IF(ABS(AR1-AR2)&gt;$B6,1,"")</f>
        <v/>
      </c>
      <c r="AS6" s="6">
        <f>IF(ABS(AS1-AS2)&gt;$B6,1,"")</f>
        <v>1</v>
      </c>
      <c r="AT6" s="6" t="str">
        <f>IF(ABS(AT1-AT2)&gt;$B6,1,"")</f>
        <v/>
      </c>
      <c r="AU6" s="6">
        <f>IF(ABS(AU1-AU2)&gt;$B6,1,"")</f>
        <v>1</v>
      </c>
      <c r="AV6" s="6" t="str">
        <f>IF(ABS(AV1-AV2)&gt;$B6,1,"")</f>
        <v/>
      </c>
      <c r="AW6" s="6">
        <f>IF(ABS(AW1-AW2)&gt;$B6,1,"")</f>
        <v>1</v>
      </c>
      <c r="AX6" s="6" t="str">
        <f>IF(ABS(AX1-AX2)&gt;$B6,1,"")</f>
        <v/>
      </c>
      <c r="AY6" s="6" t="str">
        <f>IF(ABS(AY1-AY2)&gt;$B6,1,"")</f>
        <v/>
      </c>
      <c r="AZ6" s="6" t="str">
        <f>IF(ABS(AZ1-AZ2)&gt;$B6,1,"")</f>
        <v/>
      </c>
      <c r="BA6" s="6" t="str">
        <f>IF(ABS(BA1-BA2)&gt;$B6,1,"")</f>
        <v/>
      </c>
      <c r="BB6" s="6" t="str">
        <f>IF(ABS(BB1-BB2)&gt;$B6,1,"")</f>
        <v/>
      </c>
      <c r="BC6" s="6" t="str">
        <f>IF(ABS(BC1-BC2)&gt;$B6,1,"")</f>
        <v/>
      </c>
      <c r="BD6" s="6" t="str">
        <f>IF(ABS(BD1-BD2)&gt;$B6,1,"")</f>
        <v/>
      </c>
      <c r="BE6" s="6" t="str">
        <f>IF(ABS(BE1-BE2)&gt;$B6,1,"")</f>
        <v/>
      </c>
      <c r="BF6" s="6" t="str">
        <f>IF(ABS(BF1-BF2)&gt;$B6,1,"")</f>
        <v/>
      </c>
      <c r="BG6" s="6" t="str">
        <f>IF(ABS(BG1-BG2)&gt;$B6,1,"")</f>
        <v/>
      </c>
      <c r="BH6" s="6" t="str">
        <f>IF(ABS(BH1-BH2)&gt;$B6,1,"")</f>
        <v/>
      </c>
      <c r="BI6" s="6">
        <f>IF(ABS(BI1-BI2)&gt;$B6,1,"")</f>
        <v>1</v>
      </c>
      <c r="BJ6" s="6" t="str">
        <f>IF(ABS(BJ1-BJ2)&gt;$B6,1,"")</f>
        <v/>
      </c>
      <c r="BK6" s="6" t="str">
        <f>IF(ABS(BK1-BK2)&gt;$B6,1,"")</f>
        <v/>
      </c>
      <c r="BL6" s="6" t="str">
        <f>IF(ABS(BL1-BL2)&gt;$B6,1,"")</f>
        <v/>
      </c>
      <c r="BM6" s="6">
        <f>IF(ABS(BM1-BM2)&gt;$B6,1,"")</f>
        <v>1</v>
      </c>
      <c r="BN6" s="6" t="str">
        <f>IF(ABS(BN1-BN2)&gt;$B6,1,"")</f>
        <v/>
      </c>
    </row>
    <row r="7" spans="1:66" s="1" customFormat="1" x14ac:dyDescent="0.25">
      <c r="B7" s="10">
        <f>SUM(C6:BN6)</f>
        <v>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 spans="1:66" s="1" customFormat="1" x14ac:dyDescent="0.25"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spans="1:66" s="5" customFormat="1" x14ac:dyDescent="0.25">
      <c r="A9" s="5" t="s">
        <v>1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</row>
    <row r="10" spans="1:66" s="4" customFormat="1" x14ac:dyDescent="0.25">
      <c r="B10" s="10"/>
      <c r="C10" s="4">
        <f>_xlfn.RANK.EQ(C1,$C1:$BN1)</f>
        <v>9</v>
      </c>
      <c r="D10" s="4">
        <f t="shared" ref="D10:BN10" si="0">_xlfn.RANK.EQ(D1,$C1:$BN1)</f>
        <v>18</v>
      </c>
      <c r="E10" s="4">
        <f t="shared" si="0"/>
        <v>53</v>
      </c>
      <c r="F10" s="4">
        <f t="shared" si="0"/>
        <v>1</v>
      </c>
      <c r="G10" s="4">
        <f t="shared" si="0"/>
        <v>3</v>
      </c>
      <c r="H10" s="4">
        <f t="shared" si="0"/>
        <v>20</v>
      </c>
      <c r="I10" s="4">
        <f t="shared" si="0"/>
        <v>49</v>
      </c>
      <c r="J10" s="4">
        <f t="shared" si="0"/>
        <v>6</v>
      </c>
      <c r="K10" s="4">
        <f t="shared" si="0"/>
        <v>36</v>
      </c>
      <c r="L10" s="4">
        <f t="shared" si="0"/>
        <v>60</v>
      </c>
      <c r="M10" s="4">
        <f t="shared" si="0"/>
        <v>24</v>
      </c>
      <c r="N10" s="4">
        <f t="shared" si="0"/>
        <v>34</v>
      </c>
      <c r="O10" s="4">
        <f t="shared" si="0"/>
        <v>30</v>
      </c>
      <c r="P10" s="4">
        <f t="shared" si="0"/>
        <v>39</v>
      </c>
      <c r="Q10" s="4">
        <f t="shared" si="0"/>
        <v>17</v>
      </c>
      <c r="R10" s="4">
        <f t="shared" si="0"/>
        <v>56</v>
      </c>
      <c r="S10" s="4">
        <f t="shared" si="0"/>
        <v>12</v>
      </c>
      <c r="T10" s="4">
        <f t="shared" si="0"/>
        <v>25</v>
      </c>
      <c r="U10" s="4">
        <f t="shared" si="0"/>
        <v>55</v>
      </c>
      <c r="V10" s="4">
        <f t="shared" si="0"/>
        <v>4</v>
      </c>
      <c r="W10" s="4">
        <f t="shared" si="0"/>
        <v>8</v>
      </c>
      <c r="X10" s="4">
        <f t="shared" si="0"/>
        <v>26</v>
      </c>
      <c r="Y10" s="4">
        <f t="shared" si="0"/>
        <v>51</v>
      </c>
      <c r="Z10" s="4">
        <f t="shared" si="0"/>
        <v>10</v>
      </c>
      <c r="AA10" s="4">
        <f t="shared" si="0"/>
        <v>38</v>
      </c>
      <c r="AB10" s="4">
        <f t="shared" si="0"/>
        <v>62</v>
      </c>
      <c r="AC10" s="4">
        <f t="shared" si="0"/>
        <v>22</v>
      </c>
      <c r="AD10" s="4">
        <f t="shared" si="0"/>
        <v>32</v>
      </c>
      <c r="AE10" s="4">
        <f t="shared" si="0"/>
        <v>28</v>
      </c>
      <c r="AF10" s="4">
        <f t="shared" si="0"/>
        <v>41</v>
      </c>
      <c r="AG10" s="4">
        <f t="shared" si="0"/>
        <v>15</v>
      </c>
      <c r="AH10" s="4">
        <f t="shared" si="0"/>
        <v>58</v>
      </c>
      <c r="AI10" s="4">
        <f t="shared" si="0"/>
        <v>11</v>
      </c>
      <c r="AJ10" s="4">
        <f t="shared" si="0"/>
        <v>19</v>
      </c>
      <c r="AK10" s="4">
        <f t="shared" si="0"/>
        <v>54</v>
      </c>
      <c r="AL10" s="4">
        <f t="shared" si="0"/>
        <v>2</v>
      </c>
      <c r="AM10" s="4">
        <f t="shared" si="0"/>
        <v>5</v>
      </c>
      <c r="AN10" s="4">
        <f t="shared" si="0"/>
        <v>21</v>
      </c>
      <c r="AO10" s="4">
        <f t="shared" si="0"/>
        <v>50</v>
      </c>
      <c r="AP10" s="4">
        <f t="shared" si="0"/>
        <v>7</v>
      </c>
      <c r="AQ10" s="4">
        <f t="shared" si="0"/>
        <v>37</v>
      </c>
      <c r="AR10" s="4">
        <f t="shared" si="0"/>
        <v>61</v>
      </c>
      <c r="AS10" s="4">
        <f t="shared" si="0"/>
        <v>23</v>
      </c>
      <c r="AT10" s="4">
        <f t="shared" si="0"/>
        <v>33</v>
      </c>
      <c r="AU10" s="4">
        <f t="shared" si="0"/>
        <v>29</v>
      </c>
      <c r="AV10" s="4">
        <f t="shared" si="0"/>
        <v>40</v>
      </c>
      <c r="AW10" s="4">
        <f t="shared" si="0"/>
        <v>16</v>
      </c>
      <c r="AX10" s="4">
        <f t="shared" si="0"/>
        <v>57</v>
      </c>
      <c r="AY10" s="4">
        <f t="shared" si="0"/>
        <v>44</v>
      </c>
      <c r="AZ10" s="4">
        <f t="shared" si="0"/>
        <v>48</v>
      </c>
      <c r="BA10" s="4">
        <f t="shared" si="0"/>
        <v>64</v>
      </c>
      <c r="BB10" s="4">
        <f t="shared" si="0"/>
        <v>35</v>
      </c>
      <c r="BC10" s="4">
        <f t="shared" si="0"/>
        <v>47</v>
      </c>
      <c r="BD10" s="4">
        <f t="shared" si="0"/>
        <v>46</v>
      </c>
      <c r="BE10" s="4">
        <f t="shared" si="0"/>
        <v>52</v>
      </c>
      <c r="BF10" s="4">
        <f t="shared" si="0"/>
        <v>45</v>
      </c>
      <c r="BG10" s="4">
        <f t="shared" si="0"/>
        <v>42</v>
      </c>
      <c r="BH10" s="4">
        <f t="shared" si="0"/>
        <v>63</v>
      </c>
      <c r="BI10" s="4">
        <f t="shared" si="0"/>
        <v>14</v>
      </c>
      <c r="BJ10" s="4">
        <f t="shared" si="0"/>
        <v>31</v>
      </c>
      <c r="BK10" s="4">
        <f t="shared" si="0"/>
        <v>27</v>
      </c>
      <c r="BL10" s="4">
        <f t="shared" si="0"/>
        <v>43</v>
      </c>
      <c r="BM10" s="4">
        <f t="shared" si="0"/>
        <v>13</v>
      </c>
      <c r="BN10" s="4">
        <f t="shared" si="0"/>
        <v>59</v>
      </c>
    </row>
    <row r="11" spans="1:66" s="1" customFormat="1" x14ac:dyDescent="0.25">
      <c r="B11" s="8"/>
      <c r="C11" s="4">
        <f>_xlfn.RANK.EQ(C2,$C2:$BN2)</f>
        <v>2</v>
      </c>
      <c r="D11" s="4">
        <f t="shared" ref="D11:BN11" si="1">_xlfn.RANK.EQ(D2,$C2:$BN2)</f>
        <v>9</v>
      </c>
      <c r="E11" s="4">
        <f t="shared" si="1"/>
        <v>5</v>
      </c>
      <c r="F11" s="4">
        <f t="shared" si="1"/>
        <v>1</v>
      </c>
      <c r="G11" s="4">
        <f t="shared" si="1"/>
        <v>9</v>
      </c>
      <c r="H11" s="4">
        <f t="shared" si="1"/>
        <v>2</v>
      </c>
      <c r="I11" s="4">
        <f t="shared" si="1"/>
        <v>13</v>
      </c>
      <c r="J11" s="4">
        <f t="shared" si="1"/>
        <v>5</v>
      </c>
      <c r="K11" s="4">
        <f t="shared" si="1"/>
        <v>38</v>
      </c>
      <c r="L11" s="4">
        <f t="shared" si="1"/>
        <v>46</v>
      </c>
      <c r="M11" s="4">
        <f t="shared" si="1"/>
        <v>43</v>
      </c>
      <c r="N11" s="4">
        <f t="shared" si="1"/>
        <v>49</v>
      </c>
      <c r="O11" s="4">
        <f t="shared" si="1"/>
        <v>48</v>
      </c>
      <c r="P11" s="4">
        <f t="shared" si="1"/>
        <v>55</v>
      </c>
      <c r="Q11" s="4">
        <f t="shared" si="1"/>
        <v>53</v>
      </c>
      <c r="R11" s="4">
        <f t="shared" si="1"/>
        <v>59</v>
      </c>
      <c r="S11" s="4">
        <f t="shared" si="1"/>
        <v>18</v>
      </c>
      <c r="T11" s="4">
        <f t="shared" si="1"/>
        <v>22</v>
      </c>
      <c r="U11" s="4">
        <f t="shared" si="1"/>
        <v>20</v>
      </c>
      <c r="V11" s="4">
        <f t="shared" si="1"/>
        <v>17</v>
      </c>
      <c r="W11" s="4">
        <f t="shared" si="1"/>
        <v>22</v>
      </c>
      <c r="X11" s="4">
        <f t="shared" si="1"/>
        <v>18</v>
      </c>
      <c r="Y11" s="4">
        <f t="shared" si="1"/>
        <v>24</v>
      </c>
      <c r="Z11" s="4">
        <f t="shared" si="1"/>
        <v>20</v>
      </c>
      <c r="AA11" s="4">
        <f t="shared" si="1"/>
        <v>30</v>
      </c>
      <c r="AB11" s="4">
        <f t="shared" si="1"/>
        <v>33</v>
      </c>
      <c r="AC11" s="4">
        <f t="shared" si="1"/>
        <v>32</v>
      </c>
      <c r="AD11" s="4">
        <f t="shared" si="1"/>
        <v>37</v>
      </c>
      <c r="AE11" s="4">
        <f t="shared" si="1"/>
        <v>35</v>
      </c>
      <c r="AF11" s="4">
        <f t="shared" si="1"/>
        <v>45</v>
      </c>
      <c r="AG11" s="4">
        <f t="shared" si="1"/>
        <v>41</v>
      </c>
      <c r="AH11" s="4">
        <f t="shared" si="1"/>
        <v>50</v>
      </c>
      <c r="AI11" s="4">
        <f t="shared" si="1"/>
        <v>7</v>
      </c>
      <c r="AJ11" s="4">
        <f t="shared" si="1"/>
        <v>14</v>
      </c>
      <c r="AK11" s="4">
        <f t="shared" si="1"/>
        <v>11</v>
      </c>
      <c r="AL11" s="4">
        <f t="shared" si="1"/>
        <v>4</v>
      </c>
      <c r="AM11" s="4">
        <f t="shared" si="1"/>
        <v>14</v>
      </c>
      <c r="AN11" s="4">
        <f t="shared" si="1"/>
        <v>7</v>
      </c>
      <c r="AO11" s="4">
        <f t="shared" si="1"/>
        <v>16</v>
      </c>
      <c r="AP11" s="4">
        <f t="shared" si="1"/>
        <v>11</v>
      </c>
      <c r="AQ11" s="4">
        <f t="shared" si="1"/>
        <v>36</v>
      </c>
      <c r="AR11" s="4">
        <f t="shared" si="1"/>
        <v>42</v>
      </c>
      <c r="AS11" s="4">
        <f t="shared" si="1"/>
        <v>40</v>
      </c>
      <c r="AT11" s="4">
        <f t="shared" si="1"/>
        <v>47</v>
      </c>
      <c r="AU11" s="4">
        <f t="shared" si="1"/>
        <v>44</v>
      </c>
      <c r="AV11" s="4">
        <f t="shared" si="1"/>
        <v>54</v>
      </c>
      <c r="AW11" s="4">
        <f t="shared" si="1"/>
        <v>51</v>
      </c>
      <c r="AX11" s="4">
        <f t="shared" si="1"/>
        <v>58</v>
      </c>
      <c r="AY11" s="4">
        <f t="shared" si="1"/>
        <v>56</v>
      </c>
      <c r="AZ11" s="4">
        <f t="shared" si="1"/>
        <v>62</v>
      </c>
      <c r="BA11" s="4">
        <f t="shared" si="1"/>
        <v>60</v>
      </c>
      <c r="BB11" s="4">
        <f t="shared" si="1"/>
        <v>52</v>
      </c>
      <c r="BC11" s="4">
        <f t="shared" si="1"/>
        <v>62</v>
      </c>
      <c r="BD11" s="4">
        <f t="shared" si="1"/>
        <v>56</v>
      </c>
      <c r="BE11" s="4">
        <f t="shared" si="1"/>
        <v>64</v>
      </c>
      <c r="BF11" s="4">
        <f t="shared" si="1"/>
        <v>60</v>
      </c>
      <c r="BG11" s="4">
        <f t="shared" si="1"/>
        <v>25</v>
      </c>
      <c r="BH11" s="4">
        <f t="shared" si="1"/>
        <v>27</v>
      </c>
      <c r="BI11" s="4">
        <f t="shared" si="1"/>
        <v>26</v>
      </c>
      <c r="BJ11" s="4">
        <f t="shared" si="1"/>
        <v>29</v>
      </c>
      <c r="BK11" s="4">
        <f t="shared" si="1"/>
        <v>28</v>
      </c>
      <c r="BL11" s="4">
        <f t="shared" si="1"/>
        <v>34</v>
      </c>
      <c r="BM11" s="4">
        <f t="shared" si="1"/>
        <v>31</v>
      </c>
      <c r="BN11" s="4">
        <f t="shared" si="1"/>
        <v>39</v>
      </c>
    </row>
    <row r="12" spans="1:66" s="1" customFormat="1" x14ac:dyDescent="0.25"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Beamonte González</dc:creator>
  <cp:lastModifiedBy>Sergio Beamonte González</cp:lastModifiedBy>
  <dcterms:created xsi:type="dcterms:W3CDTF">2015-06-05T18:17:20Z</dcterms:created>
  <dcterms:modified xsi:type="dcterms:W3CDTF">2026-05-04T19:12:28Z</dcterms:modified>
</cp:coreProperties>
</file>